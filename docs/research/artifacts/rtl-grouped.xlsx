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دفتر الأستا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DE5EE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" fillId="3" borderId="1" pivotButton="0" quotePrefix="0" xfId="0"/>
    <xf numFmtId="0" fontId="0" fillId="3" borderId="1" pivotButton="0" quotePrefix="0" xfId="0"/>
    <xf numFmtId="4" fontId="2" fillId="3" borderId="1" pivotButton="0" quotePrefix="0" xfId="0"/>
    <xf numFmtId="0" fontId="2" fillId="2" borderId="1" pivotButton="0" quotePrefix="0" xfId="0"/>
    <xf numFmtId="0" fontId="0" fillId="2" borderId="1" pivotButton="0" quotePrefix="0" xfId="0"/>
    <xf numFmtId="4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0"/>
    <pageSetUpPr/>
  </sheetPr>
  <dimension ref="A1:G12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2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دفتر الأستاذ العام — شركة اختبار العهد والإخلاءات</t>
        </is>
      </c>
    </row>
    <row r="2">
      <c r="A2" s="2" t="inlineStr">
        <is>
          <t>بيانات القيد</t>
        </is>
      </c>
      <c r="B2" s="2" t="n"/>
      <c r="C2" s="2" t="n"/>
      <c r="D2" s="2" t="inlineStr">
        <is>
          <t>المبالغ (ريال يمني)</t>
        </is>
      </c>
      <c r="E2" s="2" t="n"/>
      <c r="F2" s="2" t="n"/>
      <c r="G2" s="2" t="inlineStr">
        <is>
          <t>ملاحظات</t>
        </is>
      </c>
    </row>
    <row r="3">
      <c r="A3" s="2" t="inlineStr">
        <is>
          <t>تاريخ القيد</t>
        </is>
      </c>
      <c r="B3" s="2" t="inlineStr">
        <is>
          <t>الحساب</t>
        </is>
      </c>
      <c r="C3" s="2" t="inlineStr">
        <is>
          <t>رقم القيد</t>
        </is>
      </c>
      <c r="D3" s="2" t="inlineStr">
        <is>
          <t>مدين</t>
        </is>
      </c>
      <c r="E3" s="2" t="inlineStr">
        <is>
          <t>دائن</t>
        </is>
      </c>
      <c r="F3" s="2" t="inlineStr">
        <is>
          <t>الرصيد</t>
        </is>
      </c>
      <c r="G3" s="2" t="n"/>
    </row>
    <row r="4" outlineLevel="1">
      <c r="A4" s="3" t="inlineStr">
        <is>
          <t>2026-03-18</t>
        </is>
      </c>
      <c r="B4" s="3" t="inlineStr">
        <is>
          <t>1100 - النقدية الحاضرة - TAE</t>
        </is>
      </c>
      <c r="C4" s="3" t="inlineStr">
        <is>
          <t>ACC-JV-2026-00001</t>
        </is>
      </c>
      <c r="D4" s="4" t="n">
        <v>1234567.89</v>
      </c>
      <c r="E4" s="4" t="n">
        <v>0</v>
      </c>
      <c r="F4" s="4" t="n">
        <v>1234567.89</v>
      </c>
      <c r="G4" s="3" t="inlineStr">
        <is>
          <t>قيد افتتاحي</t>
        </is>
      </c>
    </row>
    <row r="5" outlineLevel="1">
      <c r="A5" s="3" t="inlineStr">
        <is>
          <t>2026-03-19</t>
        </is>
      </c>
      <c r="B5" s="3" t="inlineStr">
        <is>
          <t>1310 - المدينون (العملاء) - TAE</t>
        </is>
      </c>
      <c r="C5" s="3" t="inlineStr">
        <is>
          <t>ACC-SINV-2026-00012</t>
        </is>
      </c>
      <c r="D5" s="4" t="n">
        <v>98750.5</v>
      </c>
      <c r="E5" s="4" t="n">
        <v>0</v>
      </c>
      <c r="F5" s="4" t="n">
        <v>1333318.39</v>
      </c>
      <c r="G5" s="3" t="inlineStr">
        <is>
          <t>فاتورة مبيعات</t>
        </is>
      </c>
    </row>
    <row r="6" outlineLevel="1">
      <c r="A6" s="3" t="inlineStr">
        <is>
          <t>2026-03-20</t>
        </is>
      </c>
      <c r="B6" s="3" t="inlineStr">
        <is>
          <t>2110 - الدائنون (الموردون) - TAE</t>
        </is>
      </c>
      <c r="C6" s="3" t="inlineStr">
        <is>
          <t>ACC-PINV-2026-00003</t>
        </is>
      </c>
      <c r="D6" s="4" t="n">
        <v>0</v>
      </c>
      <c r="E6" s="4" t="n">
        <v>45000</v>
      </c>
      <c r="F6" s="4" t="n">
        <v>1288318.39</v>
      </c>
      <c r="G6" s="3" t="inlineStr">
        <is>
          <t>فاتورة شراء</t>
        </is>
      </c>
    </row>
    <row r="7">
      <c r="A7" s="5" t="inlineStr">
        <is>
          <t>مجموع فرعي — أصول متداولة</t>
        </is>
      </c>
      <c r="B7" s="6" t="n"/>
      <c r="C7" s="6" t="n"/>
      <c r="D7" s="7">
        <f>SUBTOTAL(9,D4:D6)</f>
        <v/>
      </c>
      <c r="E7" s="7">
        <f>SUBTOTAL(9,E4:E6)</f>
        <v/>
      </c>
      <c r="F7" s="7">
        <f>D7-E7</f>
        <v/>
      </c>
      <c r="G7" s="6" t="n"/>
    </row>
    <row r="8" outlineLevel="1">
      <c r="A8" s="3" t="inlineStr">
        <is>
          <t>2026-04-15</t>
        </is>
      </c>
      <c r="B8" s="3" t="inlineStr">
        <is>
          <t>4110 - إيرادات المبيعات - TAE</t>
        </is>
      </c>
      <c r="C8" s="3" t="inlineStr">
        <is>
          <t>ACC-SINV-2026-00020</t>
        </is>
      </c>
      <c r="D8" s="4" t="n">
        <v>0</v>
      </c>
      <c r="E8" s="4" t="n">
        <v>250000.75</v>
      </c>
      <c r="F8" s="4" t="n">
        <v>1038317.64</v>
      </c>
      <c r="G8" s="3" t="inlineStr">
        <is>
          <t>مبيعات نقدية</t>
        </is>
      </c>
    </row>
    <row r="9" outlineLevel="1">
      <c r="A9" s="3" t="inlineStr">
        <is>
          <t>2026-04-16</t>
        </is>
      </c>
      <c r="B9" s="3" t="inlineStr">
        <is>
          <t>5110 - تكلفة البضاعة المباعة - TAE</t>
        </is>
      </c>
      <c r="C9" s="3" t="inlineStr">
        <is>
          <t>ACC-JV-2026-00007</t>
        </is>
      </c>
      <c r="D9" s="4" t="n">
        <v>120500.25</v>
      </c>
      <c r="E9" s="4" t="n">
        <v>0</v>
      </c>
      <c r="F9" s="4" t="n">
        <v>1158817.89</v>
      </c>
      <c r="G9" s="3" t="inlineStr">
        <is>
          <t>تسوية مخزون</t>
        </is>
      </c>
    </row>
    <row r="10">
      <c r="A10" s="5" t="inlineStr">
        <is>
          <t>مجموع فرعي — قائمة الدخل</t>
        </is>
      </c>
      <c r="B10" s="6" t="n"/>
      <c r="C10" s="6" t="n"/>
      <c r="D10" s="7">
        <f>SUBTOTAL(9,D8:D9)</f>
        <v/>
      </c>
      <c r="E10" s="7">
        <f>SUBTOTAL(9,E8:E9)</f>
        <v/>
      </c>
      <c r="F10" s="7">
        <f>D10-E10</f>
        <v/>
      </c>
      <c r="G10" s="6" t="n"/>
    </row>
    <row r="11">
      <c r="A11" s="8" t="inlineStr">
        <is>
          <t>المجموع الكلي</t>
        </is>
      </c>
      <c r="B11" s="9" t="n"/>
      <c r="C11" s="9" t="n"/>
      <c r="D11" s="10">
        <f>D7+D10</f>
        <v/>
      </c>
      <c r="E11" s="10">
        <f>E7+E10</f>
        <v/>
      </c>
      <c r="F11" s="10">
        <f>D11-E11</f>
        <v/>
      </c>
      <c r="G11" s="9" t="n"/>
    </row>
    <row r="12">
      <c r="A12" t="inlineStr">
        <is>
          <t>ملاحظة مختلطة: Sales Invoice رقم ACC-SINV-2026-00012 بواسطة dev-t@sanad.digital (ERPNext v16.29.0)</t>
        </is>
      </c>
    </row>
  </sheetData>
  <mergeCells count="8">
    <mergeCell ref="D2:F2"/>
    <mergeCell ref="A10:C10"/>
    <mergeCell ref="A1:G1"/>
    <mergeCell ref="A11:C11"/>
    <mergeCell ref="A12:G12"/>
    <mergeCell ref="A7:C7"/>
    <mergeCell ref="G2:G3"/>
    <mergeCell ref="A2:C2"/>
  </mergeCells>
  <printOptions horizontalCentered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2026-09-30T19:11:58Z</dcterms:created>
  <dcterms:modified xmlns:dcterms="http://purl.org/dc/terms/" xmlns:xsi="http://www.w3.org/2001/XMLSchema-instance" xsi:type="dcterms:W3CDTF">2026-09-30T19:11:58Z</dcterms:modified>
</cp:coreProperties>
</file>